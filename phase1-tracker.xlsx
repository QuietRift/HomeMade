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👨‍🍳 Chefs" sheetId="2" state="visible" r:id="rId2"/>
    <sheet xmlns:r="http://schemas.openxmlformats.org/officeDocument/2006/relationships" name="🎤 Interviews" sheetId="3" state="visible" r:id="rId3"/>
    <sheet xmlns:r="http://schemas.openxmlformats.org/officeDocument/2006/relationships" name="📋 Waitlist" sheetId="4" state="visible" r:id="rId4"/>
    <sheet xmlns:r="http://schemas.openxmlformats.org/officeDocument/2006/relationships" name="⚖️ Compliance" sheetId="5" state="visible" r:id="rId5"/>
    <sheet xmlns:r="http://schemas.openxmlformats.org/officeDocument/2006/relationships" name="📅 Schedu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8C8479"/>
      <sz val="9"/>
    </font>
    <font>
      <name val="Arial"/>
      <b val="1"/>
      <color rgb="00FFFFFF"/>
      <sz val="10"/>
    </font>
    <font>
      <name val="Arial"/>
      <b val="1"/>
      <color rgb="00C44B2B"/>
      <sz val="28"/>
    </font>
    <font>
      <name val="Arial"/>
      <b val="1"/>
      <color rgb="00C44B2B"/>
      <sz val="9"/>
    </font>
    <font>
      <name val="Arial"/>
      <color rgb="00C44B2B"/>
      <sz val="8"/>
    </font>
    <font>
      <name val="Arial"/>
      <b val="1"/>
      <color rgb="004A5C4A"/>
      <sz val="28"/>
    </font>
    <font>
      <name val="Arial"/>
      <b val="1"/>
      <color rgb="004A5C4A"/>
      <sz val="9"/>
    </font>
    <font>
      <name val="Arial"/>
      <color rgb="004A5C4A"/>
      <sz val="8"/>
    </font>
    <font>
      <name val="Arial"/>
      <b val="1"/>
      <color rgb="002B5FC4"/>
      <sz val="28"/>
    </font>
    <font>
      <name val="Arial"/>
      <b val="1"/>
      <color rgb="002B5FC4"/>
      <sz val="9"/>
    </font>
    <font>
      <name val="Arial"/>
      <color rgb="002B5FC4"/>
      <sz val="8"/>
    </font>
    <font>
      <name val="Arial"/>
      <b val="1"/>
      <color rgb="008C8479"/>
      <sz val="28"/>
    </font>
    <font>
      <name val="Arial"/>
      <b val="1"/>
      <color rgb="008C8479"/>
      <sz val="9"/>
    </font>
    <font>
      <name val="Arial"/>
      <color rgb="008C8479"/>
      <sz val="8"/>
    </font>
    <font>
      <name val="Arial"/>
      <b val="1"/>
      <color rgb="001A1612"/>
      <sz val="9"/>
    </font>
    <font>
      <name val="Arial"/>
      <color rgb="001A1612"/>
      <sz val="10"/>
    </font>
    <font>
      <name val="Arial"/>
      <color rgb="004A5C4A"/>
      <sz val="14"/>
    </font>
    <font>
      <name val="Arial"/>
      <b val="1"/>
      <color rgb="00C44B2B"/>
      <sz val="13"/>
    </font>
    <font>
      <name val="Arial"/>
      <b val="1"/>
      <color rgb="001A1612"/>
      <sz val="13"/>
    </font>
    <font>
      <name val="Arial"/>
      <b val="1"/>
      <color rgb="004A5C4A"/>
      <sz val="13"/>
    </font>
    <font>
      <name val="Arial"/>
      <b val="1"/>
      <color rgb="002B5FC4"/>
      <sz val="13"/>
    </font>
    <font>
      <name val="Arial"/>
      <b val="1"/>
      <color rgb="001A1612"/>
      <sz val="10"/>
    </font>
    <font>
      <name val="Arial"/>
      <b val="1"/>
      <color rgb="00FFFFFF"/>
      <sz val="11"/>
    </font>
    <font>
      <name val="Arial"/>
      <color rgb="008C8479"/>
      <sz val="10"/>
    </font>
    <font>
      <name val="Arial"/>
      <b val="1"/>
      <color rgb="00C44B2B"/>
      <sz val="10"/>
    </font>
  </fonts>
  <fills count="13">
    <fill>
      <patternFill/>
    </fill>
    <fill>
      <patternFill patternType="gray125"/>
    </fill>
    <fill>
      <patternFill patternType="solid">
        <fgColor rgb="001A1612"/>
      </patternFill>
    </fill>
    <fill>
      <patternFill patternType="solid">
        <fgColor rgb="00F0EDE8"/>
      </patternFill>
    </fill>
    <fill>
      <patternFill patternType="solid">
        <fgColor rgb="00F5D5CC"/>
      </patternFill>
    </fill>
    <fill>
      <patternFill patternType="solid">
        <fgColor rgb="00D8E8D8"/>
      </patternFill>
    </fill>
    <fill>
      <patternFill patternType="solid">
        <fgColor rgb="00DCE8F5"/>
      </patternFill>
    </fill>
    <fill>
      <patternFill patternType="solid">
        <fgColor rgb="00FFFFFF"/>
      </patternFill>
    </fill>
    <fill>
      <patternFill patternType="solid">
        <fgColor rgb="00C44B2B"/>
      </patternFill>
    </fill>
    <fill>
      <patternFill patternType="solid">
        <fgColor rgb="004A5C4A"/>
      </patternFill>
    </fill>
    <fill>
      <patternFill patternType="solid">
        <fgColor rgb="002B5FC4"/>
      </patternFill>
    </fill>
    <fill>
      <patternFill patternType="solid">
        <fgColor rgb="00D4A017"/>
      </patternFill>
    </fill>
    <fill>
      <patternFill patternType="solid">
        <fgColor rgb="00FEF3DC"/>
      </patternFill>
    </fill>
  </fills>
  <borders count="2">
    <border>
      <left/>
      <right/>
      <top/>
      <bottom/>
      <diagonal/>
    </border>
    <border>
      <left style="thin">
        <color rgb="00D0CBC3"/>
      </left>
      <right style="thin">
        <color rgb="00D0CBC3"/>
      </right>
      <top style="thin">
        <color rgb="00D0CBC3"/>
      </top>
      <bottom style="thin">
        <color rgb="00D0CBC3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indent="2"/>
    </xf>
    <xf numFmtId="0" fontId="3" fillId="2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7" fillId="7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left" vertical="center"/>
    </xf>
    <xf numFmtId="0" fontId="18" fillId="3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left" vertical="center" indent="2"/>
    </xf>
    <xf numFmtId="0" fontId="2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 indent="1"/>
    </xf>
    <xf numFmtId="0" fontId="16" fillId="4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left" vertical="center" wrapText="1"/>
    </xf>
    <xf numFmtId="0" fontId="1" fillId="9" borderId="0" applyAlignment="1" pivotButton="0" quotePrefix="0" xfId="0">
      <alignment horizontal="left" vertical="center" indent="2"/>
    </xf>
    <xf numFmtId="0" fontId="21" fillId="0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 indent="1"/>
    </xf>
    <xf numFmtId="0" fontId="16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indent="2"/>
    </xf>
    <xf numFmtId="0" fontId="22" fillId="0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 indent="1"/>
    </xf>
    <xf numFmtId="0" fontId="16" fillId="6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" fillId="11" borderId="0" applyAlignment="1" pivotButton="0" quotePrefix="0" xfId="0">
      <alignment horizontal="left" vertical="center" indent="2"/>
    </xf>
    <xf numFmtId="0" fontId="16" fillId="12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left" vertical="center" wrapText="1"/>
    </xf>
    <xf numFmtId="0" fontId="23" fillId="3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left" vertical="center" wrapText="1"/>
    </xf>
    <xf numFmtId="0" fontId="24" fillId="8" borderId="0" applyAlignment="1" pivotButton="0" quotePrefix="0" xfId="0">
      <alignment horizontal="left" vertical="center" indent="1"/>
    </xf>
    <xf numFmtId="0" fontId="25" fillId="3" borderId="1" applyAlignment="1" pivotButton="0" quotePrefix="0" xfId="0">
      <alignment horizontal="center" vertical="center"/>
    </xf>
    <xf numFmtId="0" fontId="2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D8E8D8"/>
        </patternFill>
      </fill>
    </dxf>
    <dxf>
      <fill>
        <patternFill patternType="solid">
          <fgColor rgb="00F5D5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612"/>
    <outlinePr summaryBelow="1" summaryRight="1"/>
    <pageSetUpPr/>
  </sheetPr>
  <dimension ref="A1:L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5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50" customHeight="1">
      <c r="A1" s="1" t="inlineStr">
        <is>
          <t>Homemade Detroit — Phase 1 Tracker</t>
        </is>
      </c>
    </row>
    <row r="2" ht="22" customHeight="1">
      <c r="A2" s="2" t="inlineStr">
        <is>
          <t>Goal: 5 chef commits · 20 customer interviews · 50 waitlist signups · 14 days</t>
        </is>
      </c>
    </row>
    <row r="3" ht="14" customHeight="1"/>
    <row r="4" ht="22" customHeight="1">
      <c r="A4" s="3" t="inlineStr">
        <is>
          <t>PROGRESS SNAPSHOT</t>
        </is>
      </c>
    </row>
    <row r="5" ht="44" customHeight="1">
      <c r="A5" s="4">
        <f>'👨‍🍳 Chefs'!B4</f>
        <v/>
      </c>
      <c r="C5" s="5">
        <f>'🎤 Interviews'!B4</f>
        <v/>
      </c>
      <c r="E5" s="6">
        <f>'📋 Waitlist'!B4</f>
        <v/>
      </c>
      <c r="G5" s="7">
        <f>'👨‍🍳 Chefs'!B5</f>
        <v/>
      </c>
    </row>
    <row r="6" ht="20" customHeight="1">
      <c r="A6" s="8" t="inlineStr">
        <is>
          <t>Chef Commits</t>
        </is>
      </c>
      <c r="C6" s="9" t="inlineStr">
        <is>
          <t>Customer Interviews</t>
        </is>
      </c>
      <c r="E6" s="10" t="inlineStr">
        <is>
          <t>Waitlist Signups</t>
        </is>
      </c>
      <c r="G6" s="11" t="inlineStr">
        <is>
          <t>Chef Leads Sent</t>
        </is>
      </c>
    </row>
    <row r="7" ht="18" customHeight="1">
      <c r="A7" s="12" t="inlineStr">
        <is>
          <t>Target: 5</t>
        </is>
      </c>
      <c r="C7" s="13" t="inlineStr">
        <is>
          <t>Target: 20</t>
        </is>
      </c>
      <c r="E7" s="14" t="inlineStr">
        <is>
          <t>Target: 50</t>
        </is>
      </c>
      <c r="G7" s="15" t="inlineStr">
        <is>
          <t>Target: 30</t>
        </is>
      </c>
    </row>
    <row r="8" ht="14" customHeight="1"/>
    <row r="9" ht="22" customHeight="1">
      <c r="A9" s="3" t="inlineStr">
        <is>
          <t>WEEKLY LEARNING LOG</t>
        </is>
      </c>
    </row>
    <row r="10" ht="20" customHeight="1">
      <c r="A10" s="16" t="inlineStr">
        <is>
          <t>Week</t>
        </is>
      </c>
      <c r="B10" s="16" t="inlineStr">
        <is>
          <t>What surprised me</t>
        </is>
      </c>
      <c r="C10" s="16" t="inlineStr">
        <is>
          <t>What I was wrong about</t>
        </is>
      </c>
      <c r="D10" s="16" t="inlineStr">
        <is>
          <t>Chef theme</t>
        </is>
      </c>
      <c r="E10" s="16" t="inlineStr">
        <is>
          <t>Customer theme</t>
        </is>
      </c>
      <c r="F10" s="16" t="inlineStr">
        <is>
          <t>Changing next week</t>
        </is>
      </c>
      <c r="G10" s="16" t="inlineStr">
        <is>
          <t>Go/No-Go?</t>
        </is>
      </c>
      <c r="H10" s="16" t="inlineStr">
        <is>
          <t>Notes</t>
        </is>
      </c>
    </row>
    <row r="11" ht="44" customHeight="1">
      <c r="A11" s="17" t="inlineStr">
        <is>
          <t>Week 1</t>
        </is>
      </c>
      <c r="B11" s="18" t="n"/>
      <c r="C11" s="18" t="n"/>
      <c r="D11" s="18" t="n"/>
      <c r="E11" s="18" t="n"/>
      <c r="F11" s="18" t="n"/>
      <c r="G11" s="18" t="n"/>
      <c r="H11" s="18" t="n"/>
    </row>
    <row r="12" ht="44" customHeight="1">
      <c r="A12" s="17" t="inlineStr">
        <is>
          <t>Week 2</t>
        </is>
      </c>
      <c r="B12" s="19" t="n"/>
      <c r="C12" s="19" t="n"/>
      <c r="D12" s="19" t="n"/>
      <c r="E12" s="19" t="n"/>
      <c r="F12" s="19" t="n"/>
      <c r="G12" s="19" t="n"/>
      <c r="H12" s="19" t="n"/>
    </row>
    <row r="13" ht="44" customHeight="1">
      <c r="A13" s="17" t="inlineStr">
        <is>
          <t>Week 3</t>
        </is>
      </c>
      <c r="B13" s="18" t="n"/>
      <c r="C13" s="18" t="n"/>
      <c r="D13" s="18" t="n"/>
      <c r="E13" s="18" t="n"/>
      <c r="F13" s="18" t="n"/>
      <c r="G13" s="18" t="n"/>
      <c r="H13" s="18" t="n"/>
    </row>
    <row r="14" ht="44" customHeight="1">
      <c r="A14" s="17" t="inlineStr">
        <is>
          <t>Week 4</t>
        </is>
      </c>
      <c r="B14" s="19" t="n"/>
      <c r="C14" s="19" t="n"/>
      <c r="D14" s="19" t="n"/>
      <c r="E14" s="19" t="n"/>
      <c r="F14" s="19" t="n"/>
      <c r="G14" s="19" t="n"/>
      <c r="H14" s="19" t="n"/>
    </row>
    <row r="15" ht="44" customHeight="1">
      <c r="A15" s="17" t="inlineStr">
        <is>
          <t>Week 5</t>
        </is>
      </c>
      <c r="B15" s="18" t="n"/>
      <c r="C15" s="18" t="n"/>
      <c r="D15" s="18" t="n"/>
      <c r="E15" s="18" t="n"/>
      <c r="F15" s="18" t="n"/>
      <c r="G15" s="18" t="n"/>
      <c r="H15" s="18" t="n"/>
    </row>
    <row r="16" ht="44" customHeight="1">
      <c r="A16" s="17" t="inlineStr">
        <is>
          <t>Week 6</t>
        </is>
      </c>
      <c r="B16" s="19" t="n"/>
      <c r="C16" s="19" t="n"/>
      <c r="D16" s="19" t="n"/>
      <c r="E16" s="19" t="n"/>
      <c r="F16" s="19" t="n"/>
      <c r="G16" s="19" t="n"/>
      <c r="H16" s="19" t="n"/>
    </row>
    <row r="17" ht="14" customHeight="1"/>
    <row r="18" ht="22" customHeight="1">
      <c r="A18" s="3" t="inlineStr">
        <is>
          <t>END OF WEEK 2 — GO / NO-GO CHECKLIST</t>
        </is>
      </c>
    </row>
    <row r="19" ht="20" customHeight="1">
      <c r="A19" s="16" t="inlineStr">
        <is>
          <t>Criterion</t>
        </is>
      </c>
      <c r="B19" s="16" t="inlineStr">
        <is>
          <t>Status (✓/✗/?)</t>
        </is>
      </c>
      <c r="C19" s="16" t="inlineStr">
        <is>
          <t>Notes</t>
        </is>
      </c>
      <c r="D19" s="16" t="inlineStr"/>
      <c r="E19" s="16" t="inlineStr"/>
      <c r="F19" s="16" t="inlineStr"/>
      <c r="G19" s="16" t="inlineStr"/>
      <c r="H19" s="16" t="inlineStr"/>
    </row>
    <row r="20" ht="24" customHeight="1">
      <c r="A20" s="20" t="inlineStr">
        <is>
          <t>5+ chefs said 'I'd post a menu on day one'</t>
        </is>
      </c>
      <c r="B20" s="21" t="n"/>
      <c r="C20" s="20" t="n"/>
    </row>
    <row r="21" ht="24" customHeight="1">
      <c r="A21" s="22" t="inlineStr">
        <is>
          <t>15+ of 20 customer interviews reacted positively</t>
        </is>
      </c>
      <c r="B21" s="23" t="n"/>
      <c r="C21" s="22" t="n"/>
    </row>
    <row r="22" ht="24" customHeight="1">
      <c r="A22" s="20" t="inlineStr">
        <is>
          <t>Compliance pathway is clearly understood</t>
        </is>
      </c>
      <c r="B22" s="21" t="n"/>
      <c r="C22" s="20" t="n"/>
    </row>
    <row r="23" ht="24" customHeight="1">
      <c r="A23" s="22" t="inlineStr">
        <is>
          <t>50+ waitlist signups captured from real Detroiters</t>
        </is>
      </c>
      <c r="B23" s="23" t="n"/>
      <c r="C23" s="22" t="n"/>
    </row>
    <row r="24" ht="24" customHeight="1">
      <c r="A24" s="20" t="inlineStr">
        <is>
          <t>Price expectations align with $12–18/portion range</t>
        </is>
      </c>
      <c r="B24" s="21" t="n"/>
      <c r="C24" s="20" t="n"/>
    </row>
  </sheetData>
  <mergeCells count="22">
    <mergeCell ref="A9:H9"/>
    <mergeCell ref="C6:D6"/>
    <mergeCell ref="C22:H22"/>
    <mergeCell ref="C5:D5"/>
    <mergeCell ref="E5:F5"/>
    <mergeCell ref="C21:H21"/>
    <mergeCell ref="A6:B6"/>
    <mergeCell ref="A2:L2"/>
    <mergeCell ref="A7:B7"/>
    <mergeCell ref="G7:H7"/>
    <mergeCell ref="C23:H23"/>
    <mergeCell ref="G6:H6"/>
    <mergeCell ref="A18:H18"/>
    <mergeCell ref="E6:F6"/>
    <mergeCell ref="A5:B5"/>
    <mergeCell ref="G5:H5"/>
    <mergeCell ref="A4:H4"/>
    <mergeCell ref="C24:H24"/>
    <mergeCell ref="C7:D7"/>
    <mergeCell ref="E7:F7"/>
    <mergeCell ref="A1:L1"/>
    <mergeCell ref="C20:H20"/>
  </mergeCells>
  <dataValidations count="1">
    <dataValidation sqref="B20:B25" showDropDown="0" showInputMessage="0" showErrorMessage="0" allowBlank="1" type="list">
      <formula1>"✓,✗,?"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4B2B"/>
    <outlinePr summaryBelow="1" summaryRight="1"/>
    <pageSetUpPr/>
  </sheetPr>
  <dimension ref="A1:L79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30" customWidth="1" min="9" max="9"/>
    <col width="30" customWidth="1" min="10" max="10"/>
    <col width="14" customWidth="1" min="11" max="11"/>
    <col width="30" customWidth="1" min="12" max="12"/>
  </cols>
  <sheetData>
    <row r="1" ht="50" customHeight="1">
      <c r="A1" s="24" t="inlineStr">
        <is>
          <t>Chef Pipeline</t>
        </is>
      </c>
    </row>
    <row r="2" ht="22" customHeight="1">
      <c r="A2" s="2" t="inlineStr">
        <is>
          <t>Find 30 leads → get 5 hard commits → move to Phase 2</t>
        </is>
      </c>
    </row>
    <row r="3" ht="18" customHeight="1">
      <c r="A3" s="25" t="inlineStr">
        <is>
          <t>Committed chefs</t>
        </is>
      </c>
      <c r="B3" s="26">
        <f>COUNTIF(G8:G500,"Committed")</f>
        <v/>
      </c>
    </row>
    <row r="4" ht="18" customHeight="1">
      <c r="A4" s="25" t="inlineStr">
        <is>
          <t>In conversation</t>
        </is>
      </c>
      <c r="B4" s="27">
        <f>COUNTIF(G8:G500,"In convo")</f>
        <v/>
      </c>
    </row>
    <row r="5" ht="18" customHeight="1">
      <c r="A5" s="25" t="inlineStr">
        <is>
          <t>Total leads sent</t>
        </is>
      </c>
      <c r="B5" s="27">
        <f>COUNTA(A8:A500)</f>
        <v/>
      </c>
    </row>
    <row r="6" ht="8" customHeight="1"/>
    <row r="7" ht="22" customHeight="1">
      <c r="A7" s="28" t="inlineStr">
        <is>
          <t>CHEF LEADS</t>
        </is>
      </c>
    </row>
    <row r="8" ht="20" customHeight="1">
      <c r="A8" s="29" t="inlineStr">
        <is>
          <t>Name</t>
        </is>
      </c>
      <c r="B8" s="29" t="inlineStr">
        <is>
          <t>Neighborhood</t>
        </is>
      </c>
      <c r="C8" s="29" t="inlineStr">
        <is>
          <t>What they cook</t>
        </is>
      </c>
      <c r="D8" s="29" t="inlineStr">
        <is>
          <t>Channel</t>
        </is>
      </c>
      <c r="E8" s="29" t="inlineStr">
        <is>
          <t>Date contacted</t>
        </is>
      </c>
      <c r="F8" s="29" t="inlineStr">
        <is>
          <t>Last follow-up</t>
        </is>
      </c>
      <c r="G8" s="29" t="inlineStr">
        <is>
          <t>Status</t>
        </is>
      </c>
      <c r="H8" s="29" t="inlineStr">
        <is>
          <t>Committed? Y/N</t>
        </is>
      </c>
      <c r="I8" s="29" t="inlineStr">
        <is>
          <t>Dishes they'd sell</t>
        </is>
      </c>
      <c r="J8" s="29" t="inlineStr">
        <is>
          <t>Pain point</t>
        </is>
      </c>
      <c r="K8" s="29" t="inlineStr">
        <is>
          <t>Follow-up date</t>
        </is>
      </c>
      <c r="L8" s="29" t="inlineStr">
        <is>
          <t>Notes</t>
        </is>
      </c>
    </row>
    <row r="9" ht="36" customHeight="1">
      <c r="A9" s="30" t="inlineStr">
        <is>
          <t>Fatima A.</t>
        </is>
      </c>
      <c r="B9" s="30" t="inlineStr">
        <is>
          <t>Hamtramck</t>
        </is>
      </c>
      <c r="C9" s="30" t="inlineStr">
        <is>
          <t>Yemeni home cooking</t>
        </is>
      </c>
      <c r="D9" s="30" t="inlineStr">
        <is>
          <t>Instagram DM</t>
        </is>
      </c>
      <c r="E9" s="30" t="inlineStr"/>
      <c r="F9" s="30" t="inlineStr"/>
      <c r="G9" s="30" t="inlineStr">
        <is>
          <t>Lead</t>
        </is>
      </c>
      <c r="H9" s="30" t="inlineStr"/>
      <c r="I9" s="30" t="inlineStr">
        <is>
          <t>Lamb mandi, chicken saltah</t>
        </is>
      </c>
      <c r="J9" s="30" t="inlineStr">
        <is>
          <t>No way to collect payment</t>
        </is>
      </c>
      <c r="K9" s="30" t="inlineStr"/>
      <c r="L9" s="30" t="inlineStr"/>
    </row>
    <row r="10" ht="36" customHeight="1">
      <c r="A10" s="30" t="inlineStr">
        <is>
          <t>Maria G.</t>
        </is>
      </c>
      <c r="B10" s="30" t="inlineStr">
        <is>
          <t>Mexicantown</t>
        </is>
      </c>
      <c r="C10" s="30" t="inlineStr">
        <is>
          <t>Oaxacan family recipes</t>
        </is>
      </c>
      <c r="D10" s="30" t="inlineStr">
        <is>
          <t>In person</t>
        </is>
      </c>
      <c r="E10" s="30" t="inlineStr"/>
      <c r="F10" s="30" t="inlineStr"/>
      <c r="G10" s="30" t="inlineStr">
        <is>
          <t>Lead</t>
        </is>
      </c>
      <c r="H10" s="30" t="inlineStr"/>
      <c r="I10" s="30" t="inlineStr">
        <is>
          <t>Tamales, mole negro</t>
        </is>
      </c>
      <c r="J10" s="30" t="inlineStr">
        <is>
          <t>Doesn't know how much to cook</t>
        </is>
      </c>
      <c r="K10" s="30" t="inlineStr"/>
      <c r="L10" s="30" t="inlineStr"/>
    </row>
    <row r="11" ht="32" customHeight="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</row>
    <row r="12" ht="32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</row>
    <row r="13" ht="32" customHeight="1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</row>
    <row r="14" ht="32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</row>
    <row r="15" ht="32" customHeight="1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</row>
    <row r="16" ht="32" customHeight="1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</row>
    <row r="17" ht="32" customHeight="1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</row>
    <row r="18" ht="32" customHeight="1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</row>
    <row r="19" ht="32" customHeight="1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</row>
    <row r="20" ht="32" customHeight="1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</row>
    <row r="21" ht="32" customHeight="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</row>
    <row r="22" ht="32" customHeight="1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</row>
    <row r="23" ht="32" customHeight="1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</row>
    <row r="24" ht="32" customHeight="1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</row>
    <row r="25" ht="32" customHeight="1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</row>
    <row r="26" ht="32" customHeight="1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</row>
    <row r="27" ht="32" customHeight="1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</row>
    <row r="28" ht="32" customHeight="1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</row>
    <row r="29" ht="32" customHeight="1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</row>
    <row r="30" ht="32" customHeight="1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</row>
    <row r="31" ht="32" customHeight="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</row>
    <row r="32" ht="32" customHeight="1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</row>
    <row r="33" ht="32" customHeight="1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</row>
    <row r="34" ht="32" customHeight="1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</row>
    <row r="35" ht="32" customHeight="1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</row>
    <row r="36" ht="32" customHeight="1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</row>
    <row r="37" ht="32" customHeight="1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</row>
    <row r="38" ht="32" customHeight="1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</row>
    <row r="39" ht="32" customHeight="1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</row>
    <row r="40" ht="32" customHeight="1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</row>
    <row r="41" ht="32" customHeight="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</row>
    <row r="42" ht="32" customHeight="1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</row>
    <row r="43" ht="32" customHeight="1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</row>
    <row r="44" ht="32" customHeight="1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</row>
    <row r="45" ht="32" customHeight="1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</row>
    <row r="46" ht="32" customHeight="1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</row>
    <row r="47" ht="32" customHeight="1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</row>
    <row r="48" ht="32" customHeight="1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</row>
    <row r="49" ht="32" customHeight="1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</row>
    <row r="50" ht="32" customHeight="1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</row>
    <row r="51" ht="32" customHeight="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</row>
    <row r="52" ht="32" customHeight="1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</row>
    <row r="53" ht="32" customHeight="1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</row>
    <row r="54" ht="32" customHeight="1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</row>
    <row r="55" ht="32" customHeight="1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</row>
    <row r="56" ht="32" customHeight="1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</row>
    <row r="57" ht="32" customHeight="1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</row>
    <row r="58" ht="32" customHeight="1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</row>
    <row r="59" ht="32" customHeight="1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</row>
    <row r="60" ht="32" customHeight="1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</row>
    <row r="61" ht="32" customHeight="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</row>
    <row r="62" ht="32" customHeight="1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</row>
    <row r="63" ht="32" customHeight="1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</row>
    <row r="64" ht="32" customHeight="1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</row>
    <row r="65" ht="32" customHeight="1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</row>
    <row r="66" ht="32" customHeight="1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</row>
    <row r="67" ht="32" customHeight="1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</row>
    <row r="68" ht="32" customHeight="1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</row>
    <row r="69" ht="32" customHeight="1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 ht="32" customHeight="1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</row>
    <row r="71" ht="32" customHeight="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</row>
    <row r="72" ht="32" customHeight="1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</row>
    <row r="73" ht="32" customHeight="1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</row>
    <row r="74" ht="32" customHeight="1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</row>
    <row r="75" ht="32" customHeight="1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</row>
    <row r="76" ht="32" customHeight="1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</row>
    <row r="77" ht="32" customHeight="1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</row>
    <row r="78" ht="32" customHeight="1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</row>
    <row r="79" ht="32" customHeight="1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</row>
  </sheetData>
  <mergeCells count="3">
    <mergeCell ref="A2:L2"/>
    <mergeCell ref="A1:L1"/>
    <mergeCell ref="A7:L7"/>
  </mergeCells>
  <conditionalFormatting sqref="A9:L500">
    <cfRule type="cellIs" priority="1" operator="equal" dxfId="0">
      <formula>"Committed"</formula>
    </cfRule>
  </conditionalFormatting>
  <dataValidations count="3">
    <dataValidation sqref="G9:G500" showDropDown="0" showInputMessage="0" showErrorMessage="0" allowBlank="1" type="list">
      <formula1>"Lead,DM sent,Replied,Call scheduled,Met,Committed,Not interested"</formula1>
    </dataValidation>
    <dataValidation sqref="H9:H500" showDropDown="0" showInputMessage="0" showErrorMessage="0" allowBlank="1" type="list">
      <formula1>"Y,N,Maybe"</formula1>
    </dataValidation>
    <dataValidation sqref="D9:D500" showDropDown="0" showInputMessage="0" showErrorMessage="0" allowBlank="1" type="list">
      <formula1>"Instagram DM,In person,Cold email,Facebook,Referral,Other"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5C4A"/>
    <outlinePr summaryBelow="1" summaryRight="1"/>
    <pageSetUpPr/>
  </sheetPr>
  <dimension ref="A1:N79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1" customWidth="1" min="4" max="4"/>
    <col width="34" customWidth="1" min="5" max="5"/>
    <col width="28" customWidth="1" min="6" max="6"/>
    <col width="28" customWidth="1" min="7" max="7"/>
    <col width="15" customWidth="1" min="8" max="8"/>
    <col width="12" customWidth="1" min="9" max="9"/>
    <col width="16" customWidth="1" min="10" max="10"/>
    <col width="15" customWidth="1" min="11" max="11"/>
    <col width="12" customWidth="1" min="12" max="12"/>
    <col width="15" customWidth="1" min="13" max="13"/>
    <col width="30" customWidth="1" min="14" max="14"/>
  </cols>
  <sheetData>
    <row r="1" ht="50" customHeight="1">
      <c r="A1" s="31" t="inlineStr">
        <is>
          <t>Customer Interviews</t>
        </is>
      </c>
    </row>
    <row r="2" ht="22" customHeight="1">
      <c r="A2" s="2" t="inlineStr">
        <is>
          <t>Run 20 before drawing conclusions · Write exact words, not summaries · Signal 4–5 = strong</t>
        </is>
      </c>
    </row>
    <row r="3" ht="18" customHeight="1">
      <c r="A3" s="25" t="inlineStr">
        <is>
          <t>Interviews done</t>
        </is>
      </c>
      <c r="B3" s="32">
        <f>COUNTA(A8:A500)</f>
        <v/>
      </c>
    </row>
    <row r="4" ht="18" customHeight="1">
      <c r="A4" s="25" t="inlineStr">
        <is>
          <t>Strong signal (4–5)</t>
        </is>
      </c>
      <c r="B4" s="32">
        <f>COUNTIF(J8:J500,"&gt;=4")</f>
        <v/>
      </c>
    </row>
    <row r="5" ht="18" customHeight="1">
      <c r="A5" s="25" t="inlineStr">
        <is>
          <t>Gave email</t>
        </is>
      </c>
      <c r="B5" s="32">
        <f>COUNTIF(M8:M500,"Y")</f>
        <v/>
      </c>
    </row>
    <row r="6" ht="8" customHeight="1"/>
    <row r="7" ht="22" customHeight="1">
      <c r="A7" s="33" t="inlineStr">
        <is>
          <t>INTERVIEW LOG</t>
        </is>
      </c>
    </row>
    <row r="8" ht="20" customHeight="1">
      <c r="A8" s="34" t="inlineStr">
        <is>
          <t>Name</t>
        </is>
      </c>
      <c r="B8" s="34" t="inlineStr">
        <is>
          <t>Neighborhood</t>
        </is>
      </c>
      <c r="C8" s="34" t="inlineStr">
        <is>
          <t>How met</t>
        </is>
      </c>
      <c r="D8" s="34" t="inlineStr">
        <is>
          <t>Orders/week</t>
        </is>
      </c>
      <c r="E8" s="34" t="inlineStr">
        <is>
          <t>Food gap (exact words)</t>
        </is>
      </c>
      <c r="F8" s="34" t="inlineStr">
        <is>
          <t>Reaction to concept</t>
        </is>
      </c>
      <c r="G8" s="34" t="inlineStr">
        <is>
          <t>Biggest objection</t>
        </is>
      </c>
      <c r="H8" s="34" t="inlineStr">
        <is>
          <t>Pickup or delivery?</t>
        </is>
      </c>
      <c r="I8" s="34" t="inlineStr">
        <is>
          <t>Signal (1–5)</t>
        </is>
      </c>
      <c r="J8" s="34" t="inlineStr">
        <is>
          <t>Price expect ($/portion)</t>
        </is>
      </c>
      <c r="K8" s="34" t="inlineStr">
        <is>
          <t>Subscribe $9/mo?</t>
        </is>
      </c>
      <c r="L8" s="34" t="inlineStr">
        <is>
          <t>Gave email?</t>
        </is>
      </c>
      <c r="M8" s="34" t="inlineStr">
        <is>
          <t>Referral?</t>
        </is>
      </c>
      <c r="N8" s="34" t="inlineStr">
        <is>
          <t>Notes</t>
        </is>
      </c>
    </row>
    <row r="9" ht="44" customHeight="1">
      <c r="A9" s="35" t="inlineStr">
        <is>
          <t>Marcus T.</t>
        </is>
      </c>
      <c r="B9" s="35" t="inlineStr">
        <is>
          <t>Corktown</t>
        </is>
      </c>
      <c r="C9" s="35" t="inlineStr">
        <is>
          <t>Coffee shop</t>
        </is>
      </c>
      <c r="D9" s="35" t="inlineStr">
        <is>
          <t>3–4x/week</t>
        </is>
      </c>
      <c r="E9" s="35" t="inlineStr">
        <is>
          <t>Food that tastes like my grandma made it</t>
        </is>
      </c>
      <c r="F9" s="35" t="inlineStr">
        <is>
          <t>Lit up — asked when it launches</t>
        </is>
      </c>
      <c r="G9" s="35" t="inlineStr">
        <is>
          <t>Worried about food safety</t>
        </is>
      </c>
      <c r="H9" s="35" t="inlineStr">
        <is>
          <t>Pickup</t>
        </is>
      </c>
      <c r="I9" s="35" t="inlineStr">
        <is>
          <t>5</t>
        </is>
      </c>
      <c r="J9" s="35" t="inlineStr">
        <is>
          <t>$14</t>
        </is>
      </c>
      <c r="K9" s="35" t="inlineStr">
        <is>
          <t>Y</t>
        </is>
      </c>
      <c r="L9" s="35" t="inlineStr">
        <is>
          <t>Y</t>
        </is>
      </c>
      <c r="M9" s="35" t="inlineStr">
        <is>
          <t>Sister in EEV</t>
        </is>
      </c>
      <c r="N9" s="35" t="inlineStr">
        <is>
          <t>Most promising so far</t>
        </is>
      </c>
    </row>
    <row r="10" ht="36" customHeight="1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 ht="36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</row>
    <row r="12" ht="36" customHeight="1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 ht="36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</row>
    <row r="14" ht="36" customHeight="1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 ht="36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</row>
    <row r="16" ht="36" customHeight="1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 ht="36" customHeight="1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</row>
    <row r="18" ht="36" customHeight="1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 ht="36" customHeight="1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</row>
    <row r="20" ht="36" customHeight="1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 ht="36" customHeight="1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</row>
    <row r="22" ht="36" customHeight="1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 ht="36" customHeight="1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</row>
    <row r="24" ht="36" customHeight="1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 ht="36" customHeight="1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</row>
    <row r="26" ht="36" customHeight="1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 ht="36" customHeight="1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</row>
    <row r="28" ht="36" customHeight="1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</row>
    <row r="29" ht="36" customHeight="1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</row>
    <row r="30" ht="36" customHeight="1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</row>
    <row r="31" ht="36" customHeight="1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</row>
    <row r="32" ht="36" customHeight="1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</row>
    <row r="33" ht="36" customHeight="1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</row>
    <row r="34" ht="36" customHeight="1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</row>
    <row r="35" ht="36" customHeight="1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</row>
    <row r="36" ht="36" customHeight="1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</row>
    <row r="37" ht="36" customHeight="1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</row>
    <row r="38" ht="36" customHeight="1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</row>
    <row r="39" ht="36" customHeight="1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</row>
    <row r="40" ht="36" customHeight="1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</row>
    <row r="41" ht="36" customHeight="1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</row>
    <row r="42" ht="36" customHeight="1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</row>
    <row r="43" ht="36" customHeight="1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</row>
    <row r="44" ht="36" customHeight="1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</row>
    <row r="45" ht="36" customHeight="1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</row>
    <row r="46" ht="36" customHeight="1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</row>
    <row r="47" ht="36" customHeight="1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</row>
    <row r="48" ht="36" customHeight="1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</row>
    <row r="49" ht="36" customHeight="1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</row>
    <row r="50" ht="36" customHeight="1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</row>
    <row r="51" ht="36" customHeight="1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</row>
    <row r="52" ht="36" customHeight="1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</row>
    <row r="53" ht="36" customHeight="1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</row>
    <row r="54" ht="36" customHeight="1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</row>
    <row r="55" ht="36" customHeight="1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</row>
    <row r="56" ht="36" customHeight="1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</row>
    <row r="57" ht="36" customHeight="1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</row>
    <row r="58" ht="36" customHeight="1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</row>
    <row r="59" ht="36" customHeight="1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</row>
    <row r="60" ht="36" customHeight="1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</row>
    <row r="61" ht="36" customHeight="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</row>
    <row r="62" ht="36" customHeight="1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</row>
    <row r="63" ht="36" customHeight="1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</row>
    <row r="64" ht="36" customHeight="1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</row>
    <row r="65" ht="36" customHeight="1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</row>
    <row r="66" ht="36" customHeight="1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</row>
    <row r="67" ht="36" customHeight="1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</row>
    <row r="68" ht="36" customHeight="1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</row>
    <row r="69" ht="36" customHeight="1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</row>
    <row r="70" ht="36" customHeight="1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</row>
    <row r="71" ht="36" customHeight="1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</row>
    <row r="72" ht="36" customHeight="1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</row>
    <row r="73" ht="36" customHeight="1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</row>
    <row r="74" ht="36" customHeight="1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</row>
    <row r="75" ht="36" customHeight="1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</row>
    <row r="76" ht="36" customHeight="1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</row>
    <row r="77" ht="36" customHeight="1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</row>
    <row r="78" ht="36" customHeight="1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</row>
    <row r="79" ht="36" customHeight="1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</row>
  </sheetData>
  <mergeCells count="3">
    <mergeCell ref="A7:N7"/>
    <mergeCell ref="A2:L2"/>
    <mergeCell ref="A1:L1"/>
  </mergeCells>
  <conditionalFormatting sqref="A9:N500">
    <cfRule type="cellIs" priority="1" operator="equal" dxfId="0">
      <formula>"5"</formula>
    </cfRule>
    <cfRule type="cellIs" priority="2" operator="equal" dxfId="1">
      <formula>"1"</formula>
    </cfRule>
  </conditionalFormatting>
  <dataValidations count="3">
    <dataValidation sqref="I9:I500" showDropDown="0" showInputMessage="0" showErrorMessage="0" allowBlank="1" type="list">
      <formula1>"1,2,3,4,5"</formula1>
    </dataValidation>
    <dataValidation sqref="K9:M500" showDropDown="0" showInputMessage="0" showErrorMessage="0" allowBlank="1" type="list">
      <formula1>"Y,N,Maybe"</formula1>
    </dataValidation>
    <dataValidation sqref="H9:H500" showDropDown="0" showInputMessage="0" showErrorMessage="0" allowBlank="1" type="list">
      <formula1>"Pickup,Delivery,Either"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B5FC4"/>
    <outlinePr summaryBelow="1" summaryRight="1"/>
    <pageSetUpPr/>
  </sheetPr>
  <dimension ref="A1:L9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6" customWidth="1" min="5" max="5"/>
    <col width="24" customWidth="1" min="6" max="6"/>
    <col width="12" customWidth="1" min="7" max="7"/>
    <col width="30" customWidth="1" min="8" max="8"/>
  </cols>
  <sheetData>
    <row r="1" ht="50" customHeight="1">
      <c r="A1" s="36" t="inlineStr">
        <is>
          <t>Waitlist Signups</t>
        </is>
      </c>
    </row>
    <row r="2" ht="22" customHeight="1">
      <c r="A2" s="2" t="inlineStr">
        <is>
          <t>Paste from Netlify Forms · Goal: 50 before Phase 2 · Keep chefs and customers separate</t>
        </is>
      </c>
    </row>
    <row r="3" ht="18" customHeight="1">
      <c r="A3" s="25" t="inlineStr">
        <is>
          <t>Total signups</t>
        </is>
      </c>
      <c r="B3" s="37">
        <f>COUNTA(A8:A500)</f>
        <v/>
      </c>
    </row>
    <row r="4" ht="18" customHeight="1">
      <c r="A4" s="25" t="inlineStr">
        <is>
          <t>Customers</t>
        </is>
      </c>
      <c r="B4" s="37">
        <f>COUNTIF(C8:C500,"Customer")</f>
        <v/>
      </c>
    </row>
    <row r="5" ht="18" customHeight="1">
      <c r="A5" s="25" t="inlineStr">
        <is>
          <t>Chefs</t>
        </is>
      </c>
      <c r="B5" s="37">
        <f>COUNTIF(C8:C500,"Chef")</f>
        <v/>
      </c>
    </row>
    <row r="6" ht="8" customHeight="1"/>
    <row r="7" ht="22" customHeight="1">
      <c r="A7" s="38" t="inlineStr">
        <is>
          <t>SIGNUP LOG</t>
        </is>
      </c>
    </row>
    <row r="8" ht="20" customHeight="1">
      <c r="A8" s="39" t="inlineStr">
        <is>
          <t>Name</t>
        </is>
      </c>
      <c r="B8" s="39" t="inlineStr">
        <is>
          <t>Email</t>
        </is>
      </c>
      <c r="C8" s="39" t="inlineStr">
        <is>
          <t>Type</t>
        </is>
      </c>
      <c r="D8" s="39" t="inlineStr">
        <is>
          <t>Neighborhood</t>
        </is>
      </c>
      <c r="E8" s="39" t="inlineStr">
        <is>
          <t>Date signed up</t>
        </is>
      </c>
      <c r="F8" s="39" t="inlineStr">
        <is>
          <t>How they found us</t>
        </is>
      </c>
      <c r="G8" s="39" t="inlineStr">
        <is>
          <t>Emailed?</t>
        </is>
      </c>
      <c r="H8" s="39" t="inlineStr">
        <is>
          <t>Notes</t>
        </is>
      </c>
    </row>
    <row r="9" ht="24" customHeight="1">
      <c r="A9" s="18" t="n"/>
      <c r="B9" s="18" t="n"/>
      <c r="C9" s="18" t="n"/>
      <c r="D9" s="18" t="n"/>
      <c r="E9" s="18" t="n"/>
      <c r="F9" s="18" t="n"/>
      <c r="G9" s="18" t="n"/>
      <c r="H9" s="18" t="n"/>
    </row>
    <row r="10" ht="24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</row>
    <row r="11" ht="24" customHeight="1">
      <c r="A11" s="18" t="n"/>
      <c r="B11" s="18" t="n"/>
      <c r="C11" s="18" t="n"/>
      <c r="D11" s="18" t="n"/>
      <c r="E11" s="18" t="n"/>
      <c r="F11" s="18" t="n"/>
      <c r="G11" s="18" t="n"/>
      <c r="H11" s="18" t="n"/>
    </row>
    <row r="12" ht="24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</row>
    <row r="13" ht="24" customHeight="1">
      <c r="A13" s="18" t="n"/>
      <c r="B13" s="18" t="n"/>
      <c r="C13" s="18" t="n"/>
      <c r="D13" s="18" t="n"/>
      <c r="E13" s="18" t="n"/>
      <c r="F13" s="18" t="n"/>
      <c r="G13" s="18" t="n"/>
      <c r="H13" s="18" t="n"/>
    </row>
    <row r="14" ht="24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</row>
    <row r="15" ht="24" customHeight="1">
      <c r="A15" s="18" t="n"/>
      <c r="B15" s="18" t="n"/>
      <c r="C15" s="18" t="n"/>
      <c r="D15" s="18" t="n"/>
      <c r="E15" s="18" t="n"/>
      <c r="F15" s="18" t="n"/>
      <c r="G15" s="18" t="n"/>
      <c r="H15" s="18" t="n"/>
    </row>
    <row r="16" ht="24" customHeight="1">
      <c r="A16" s="19" t="n"/>
      <c r="B16" s="19" t="n"/>
      <c r="C16" s="19" t="n"/>
      <c r="D16" s="19" t="n"/>
      <c r="E16" s="19" t="n"/>
      <c r="F16" s="19" t="n"/>
      <c r="G16" s="19" t="n"/>
      <c r="H16" s="19" t="n"/>
    </row>
    <row r="17" ht="24" customHeight="1">
      <c r="A17" s="18" t="n"/>
      <c r="B17" s="18" t="n"/>
      <c r="C17" s="18" t="n"/>
      <c r="D17" s="18" t="n"/>
      <c r="E17" s="18" t="n"/>
      <c r="F17" s="18" t="n"/>
      <c r="G17" s="18" t="n"/>
      <c r="H17" s="18" t="n"/>
    </row>
    <row r="18" ht="24" customHeight="1">
      <c r="A18" s="19" t="n"/>
      <c r="B18" s="19" t="n"/>
      <c r="C18" s="19" t="n"/>
      <c r="D18" s="19" t="n"/>
      <c r="E18" s="19" t="n"/>
      <c r="F18" s="19" t="n"/>
      <c r="G18" s="19" t="n"/>
      <c r="H18" s="19" t="n"/>
    </row>
    <row r="19" ht="24" customHeight="1">
      <c r="A19" s="18" t="n"/>
      <c r="B19" s="18" t="n"/>
      <c r="C19" s="18" t="n"/>
      <c r="D19" s="18" t="n"/>
      <c r="E19" s="18" t="n"/>
      <c r="F19" s="18" t="n"/>
      <c r="G19" s="18" t="n"/>
      <c r="H19" s="18" t="n"/>
    </row>
    <row r="20" ht="24" customHeight="1">
      <c r="A20" s="19" t="n"/>
      <c r="B20" s="19" t="n"/>
      <c r="C20" s="19" t="n"/>
      <c r="D20" s="19" t="n"/>
      <c r="E20" s="19" t="n"/>
      <c r="F20" s="19" t="n"/>
      <c r="G20" s="19" t="n"/>
      <c r="H20" s="19" t="n"/>
    </row>
    <row r="21" ht="24" customHeight="1">
      <c r="A21" s="18" t="n"/>
      <c r="B21" s="18" t="n"/>
      <c r="C21" s="18" t="n"/>
      <c r="D21" s="18" t="n"/>
      <c r="E21" s="18" t="n"/>
      <c r="F21" s="18" t="n"/>
      <c r="G21" s="18" t="n"/>
      <c r="H21" s="18" t="n"/>
    </row>
    <row r="22" ht="24" customHeight="1">
      <c r="A22" s="19" t="n"/>
      <c r="B22" s="19" t="n"/>
      <c r="C22" s="19" t="n"/>
      <c r="D22" s="19" t="n"/>
      <c r="E22" s="19" t="n"/>
      <c r="F22" s="19" t="n"/>
      <c r="G22" s="19" t="n"/>
      <c r="H22" s="19" t="n"/>
    </row>
    <row r="23" ht="24" customHeight="1">
      <c r="A23" s="18" t="n"/>
      <c r="B23" s="18" t="n"/>
      <c r="C23" s="18" t="n"/>
      <c r="D23" s="18" t="n"/>
      <c r="E23" s="18" t="n"/>
      <c r="F23" s="18" t="n"/>
      <c r="G23" s="18" t="n"/>
      <c r="H23" s="18" t="n"/>
    </row>
    <row r="24" ht="24" customHeight="1">
      <c r="A24" s="19" t="n"/>
      <c r="B24" s="19" t="n"/>
      <c r="C24" s="19" t="n"/>
      <c r="D24" s="19" t="n"/>
      <c r="E24" s="19" t="n"/>
      <c r="F24" s="19" t="n"/>
      <c r="G24" s="19" t="n"/>
      <c r="H24" s="19" t="n"/>
    </row>
    <row r="25" ht="24" customHeight="1">
      <c r="A25" s="18" t="n"/>
      <c r="B25" s="18" t="n"/>
      <c r="C25" s="18" t="n"/>
      <c r="D25" s="18" t="n"/>
      <c r="E25" s="18" t="n"/>
      <c r="F25" s="18" t="n"/>
      <c r="G25" s="18" t="n"/>
      <c r="H25" s="18" t="n"/>
    </row>
    <row r="26" ht="24" customHeight="1">
      <c r="A26" s="19" t="n"/>
      <c r="B26" s="19" t="n"/>
      <c r="C26" s="19" t="n"/>
      <c r="D26" s="19" t="n"/>
      <c r="E26" s="19" t="n"/>
      <c r="F26" s="19" t="n"/>
      <c r="G26" s="19" t="n"/>
      <c r="H26" s="19" t="n"/>
    </row>
    <row r="27" ht="24" customHeight="1">
      <c r="A27" s="18" t="n"/>
      <c r="B27" s="18" t="n"/>
      <c r="C27" s="18" t="n"/>
      <c r="D27" s="18" t="n"/>
      <c r="E27" s="18" t="n"/>
      <c r="F27" s="18" t="n"/>
      <c r="G27" s="18" t="n"/>
      <c r="H27" s="18" t="n"/>
    </row>
    <row r="28" ht="24" customHeight="1">
      <c r="A28" s="19" t="n"/>
      <c r="B28" s="19" t="n"/>
      <c r="C28" s="19" t="n"/>
      <c r="D28" s="19" t="n"/>
      <c r="E28" s="19" t="n"/>
      <c r="F28" s="19" t="n"/>
      <c r="G28" s="19" t="n"/>
      <c r="H28" s="19" t="n"/>
    </row>
    <row r="29" ht="24" customHeight="1">
      <c r="A29" s="18" t="n"/>
      <c r="B29" s="18" t="n"/>
      <c r="C29" s="18" t="n"/>
      <c r="D29" s="18" t="n"/>
      <c r="E29" s="18" t="n"/>
      <c r="F29" s="18" t="n"/>
      <c r="G29" s="18" t="n"/>
      <c r="H29" s="18" t="n"/>
    </row>
    <row r="30" ht="24" customHeight="1">
      <c r="A30" s="19" t="n"/>
      <c r="B30" s="19" t="n"/>
      <c r="C30" s="19" t="n"/>
      <c r="D30" s="19" t="n"/>
      <c r="E30" s="19" t="n"/>
      <c r="F30" s="19" t="n"/>
      <c r="G30" s="19" t="n"/>
      <c r="H30" s="19" t="n"/>
    </row>
    <row r="31" ht="24" customHeight="1">
      <c r="A31" s="18" t="n"/>
      <c r="B31" s="18" t="n"/>
      <c r="C31" s="18" t="n"/>
      <c r="D31" s="18" t="n"/>
      <c r="E31" s="18" t="n"/>
      <c r="F31" s="18" t="n"/>
      <c r="G31" s="18" t="n"/>
      <c r="H31" s="18" t="n"/>
    </row>
    <row r="32" ht="24" customHeight="1">
      <c r="A32" s="19" t="n"/>
      <c r="B32" s="19" t="n"/>
      <c r="C32" s="19" t="n"/>
      <c r="D32" s="19" t="n"/>
      <c r="E32" s="19" t="n"/>
      <c r="F32" s="19" t="n"/>
      <c r="G32" s="19" t="n"/>
      <c r="H32" s="19" t="n"/>
    </row>
    <row r="33" ht="24" customHeight="1">
      <c r="A33" s="18" t="n"/>
      <c r="B33" s="18" t="n"/>
      <c r="C33" s="18" t="n"/>
      <c r="D33" s="18" t="n"/>
      <c r="E33" s="18" t="n"/>
      <c r="F33" s="18" t="n"/>
      <c r="G33" s="18" t="n"/>
      <c r="H33" s="18" t="n"/>
    </row>
    <row r="34" ht="24" customHeight="1">
      <c r="A34" s="19" t="n"/>
      <c r="B34" s="19" t="n"/>
      <c r="C34" s="19" t="n"/>
      <c r="D34" s="19" t="n"/>
      <c r="E34" s="19" t="n"/>
      <c r="F34" s="19" t="n"/>
      <c r="G34" s="19" t="n"/>
      <c r="H34" s="19" t="n"/>
    </row>
    <row r="35" ht="24" customHeight="1">
      <c r="A35" s="18" t="n"/>
      <c r="B35" s="18" t="n"/>
      <c r="C35" s="18" t="n"/>
      <c r="D35" s="18" t="n"/>
      <c r="E35" s="18" t="n"/>
      <c r="F35" s="18" t="n"/>
      <c r="G35" s="18" t="n"/>
      <c r="H35" s="18" t="n"/>
    </row>
    <row r="36" ht="24" customHeight="1">
      <c r="A36" s="19" t="n"/>
      <c r="B36" s="19" t="n"/>
      <c r="C36" s="19" t="n"/>
      <c r="D36" s="19" t="n"/>
      <c r="E36" s="19" t="n"/>
      <c r="F36" s="19" t="n"/>
      <c r="G36" s="19" t="n"/>
      <c r="H36" s="19" t="n"/>
    </row>
    <row r="37" ht="24" customHeight="1">
      <c r="A37" s="18" t="n"/>
      <c r="B37" s="18" t="n"/>
      <c r="C37" s="18" t="n"/>
      <c r="D37" s="18" t="n"/>
      <c r="E37" s="18" t="n"/>
      <c r="F37" s="18" t="n"/>
      <c r="G37" s="18" t="n"/>
      <c r="H37" s="18" t="n"/>
    </row>
    <row r="38" ht="24" customHeight="1">
      <c r="A38" s="19" t="n"/>
      <c r="B38" s="19" t="n"/>
      <c r="C38" s="19" t="n"/>
      <c r="D38" s="19" t="n"/>
      <c r="E38" s="19" t="n"/>
      <c r="F38" s="19" t="n"/>
      <c r="G38" s="19" t="n"/>
      <c r="H38" s="19" t="n"/>
    </row>
    <row r="39" ht="24" customHeight="1">
      <c r="A39" s="18" t="n"/>
      <c r="B39" s="18" t="n"/>
      <c r="C39" s="18" t="n"/>
      <c r="D39" s="18" t="n"/>
      <c r="E39" s="18" t="n"/>
      <c r="F39" s="18" t="n"/>
      <c r="G39" s="18" t="n"/>
      <c r="H39" s="18" t="n"/>
    </row>
    <row r="40" ht="24" customHeight="1">
      <c r="A40" s="19" t="n"/>
      <c r="B40" s="19" t="n"/>
      <c r="C40" s="19" t="n"/>
      <c r="D40" s="19" t="n"/>
      <c r="E40" s="19" t="n"/>
      <c r="F40" s="19" t="n"/>
      <c r="G40" s="19" t="n"/>
      <c r="H40" s="19" t="n"/>
    </row>
    <row r="41" ht="24" customHeight="1">
      <c r="A41" s="18" t="n"/>
      <c r="B41" s="18" t="n"/>
      <c r="C41" s="18" t="n"/>
      <c r="D41" s="18" t="n"/>
      <c r="E41" s="18" t="n"/>
      <c r="F41" s="18" t="n"/>
      <c r="G41" s="18" t="n"/>
      <c r="H41" s="18" t="n"/>
    </row>
    <row r="42" ht="24" customHeight="1">
      <c r="A42" s="19" t="n"/>
      <c r="B42" s="19" t="n"/>
      <c r="C42" s="19" t="n"/>
      <c r="D42" s="19" t="n"/>
      <c r="E42" s="19" t="n"/>
      <c r="F42" s="19" t="n"/>
      <c r="G42" s="19" t="n"/>
      <c r="H42" s="19" t="n"/>
    </row>
    <row r="43" ht="24" customHeight="1">
      <c r="A43" s="18" t="n"/>
      <c r="B43" s="18" t="n"/>
      <c r="C43" s="18" t="n"/>
      <c r="D43" s="18" t="n"/>
      <c r="E43" s="18" t="n"/>
      <c r="F43" s="18" t="n"/>
      <c r="G43" s="18" t="n"/>
      <c r="H43" s="18" t="n"/>
    </row>
    <row r="44" ht="24" customHeight="1">
      <c r="A44" s="19" t="n"/>
      <c r="B44" s="19" t="n"/>
      <c r="C44" s="19" t="n"/>
      <c r="D44" s="19" t="n"/>
      <c r="E44" s="19" t="n"/>
      <c r="F44" s="19" t="n"/>
      <c r="G44" s="19" t="n"/>
      <c r="H44" s="19" t="n"/>
    </row>
    <row r="45" ht="24" customHeight="1">
      <c r="A45" s="18" t="n"/>
      <c r="B45" s="18" t="n"/>
      <c r="C45" s="18" t="n"/>
      <c r="D45" s="18" t="n"/>
      <c r="E45" s="18" t="n"/>
      <c r="F45" s="18" t="n"/>
      <c r="G45" s="18" t="n"/>
      <c r="H45" s="18" t="n"/>
    </row>
    <row r="46" ht="24" customHeight="1">
      <c r="A46" s="19" t="n"/>
      <c r="B46" s="19" t="n"/>
      <c r="C46" s="19" t="n"/>
      <c r="D46" s="19" t="n"/>
      <c r="E46" s="19" t="n"/>
      <c r="F46" s="19" t="n"/>
      <c r="G46" s="19" t="n"/>
      <c r="H46" s="19" t="n"/>
    </row>
    <row r="47" ht="24" customHeight="1">
      <c r="A47" s="18" t="n"/>
      <c r="B47" s="18" t="n"/>
      <c r="C47" s="18" t="n"/>
      <c r="D47" s="18" t="n"/>
      <c r="E47" s="18" t="n"/>
      <c r="F47" s="18" t="n"/>
      <c r="G47" s="18" t="n"/>
      <c r="H47" s="18" t="n"/>
    </row>
    <row r="48" ht="24" customHeight="1">
      <c r="A48" s="19" t="n"/>
      <c r="B48" s="19" t="n"/>
      <c r="C48" s="19" t="n"/>
      <c r="D48" s="19" t="n"/>
      <c r="E48" s="19" t="n"/>
      <c r="F48" s="19" t="n"/>
      <c r="G48" s="19" t="n"/>
      <c r="H48" s="19" t="n"/>
    </row>
    <row r="49" ht="24" customHeight="1">
      <c r="A49" s="18" t="n"/>
      <c r="B49" s="18" t="n"/>
      <c r="C49" s="18" t="n"/>
      <c r="D49" s="18" t="n"/>
      <c r="E49" s="18" t="n"/>
      <c r="F49" s="18" t="n"/>
      <c r="G49" s="18" t="n"/>
      <c r="H49" s="18" t="n"/>
    </row>
    <row r="50" ht="24" customHeight="1">
      <c r="A50" s="19" t="n"/>
      <c r="B50" s="19" t="n"/>
      <c r="C50" s="19" t="n"/>
      <c r="D50" s="19" t="n"/>
      <c r="E50" s="19" t="n"/>
      <c r="F50" s="19" t="n"/>
      <c r="G50" s="19" t="n"/>
      <c r="H50" s="19" t="n"/>
    </row>
    <row r="51" ht="24" customHeight="1">
      <c r="A51" s="18" t="n"/>
      <c r="B51" s="18" t="n"/>
      <c r="C51" s="18" t="n"/>
      <c r="D51" s="18" t="n"/>
      <c r="E51" s="18" t="n"/>
      <c r="F51" s="18" t="n"/>
      <c r="G51" s="18" t="n"/>
      <c r="H51" s="18" t="n"/>
    </row>
    <row r="52" ht="24" customHeight="1">
      <c r="A52" s="19" t="n"/>
      <c r="B52" s="19" t="n"/>
      <c r="C52" s="19" t="n"/>
      <c r="D52" s="19" t="n"/>
      <c r="E52" s="19" t="n"/>
      <c r="F52" s="19" t="n"/>
      <c r="G52" s="19" t="n"/>
      <c r="H52" s="19" t="n"/>
    </row>
    <row r="53" ht="24" customHeight="1">
      <c r="A53" s="18" t="n"/>
      <c r="B53" s="18" t="n"/>
      <c r="C53" s="18" t="n"/>
      <c r="D53" s="18" t="n"/>
      <c r="E53" s="18" t="n"/>
      <c r="F53" s="18" t="n"/>
      <c r="G53" s="18" t="n"/>
      <c r="H53" s="18" t="n"/>
    </row>
    <row r="54" ht="24" customHeight="1">
      <c r="A54" s="19" t="n"/>
      <c r="B54" s="19" t="n"/>
      <c r="C54" s="19" t="n"/>
      <c r="D54" s="19" t="n"/>
      <c r="E54" s="19" t="n"/>
      <c r="F54" s="19" t="n"/>
      <c r="G54" s="19" t="n"/>
      <c r="H54" s="19" t="n"/>
    </row>
    <row r="55" ht="24" customHeight="1">
      <c r="A55" s="18" t="n"/>
      <c r="B55" s="18" t="n"/>
      <c r="C55" s="18" t="n"/>
      <c r="D55" s="18" t="n"/>
      <c r="E55" s="18" t="n"/>
      <c r="F55" s="18" t="n"/>
      <c r="G55" s="18" t="n"/>
      <c r="H55" s="18" t="n"/>
    </row>
    <row r="56" ht="24" customHeight="1">
      <c r="A56" s="19" t="n"/>
      <c r="B56" s="19" t="n"/>
      <c r="C56" s="19" t="n"/>
      <c r="D56" s="19" t="n"/>
      <c r="E56" s="19" t="n"/>
      <c r="F56" s="19" t="n"/>
      <c r="G56" s="19" t="n"/>
      <c r="H56" s="19" t="n"/>
    </row>
    <row r="57" ht="24" customHeight="1">
      <c r="A57" s="18" t="n"/>
      <c r="B57" s="18" t="n"/>
      <c r="C57" s="18" t="n"/>
      <c r="D57" s="18" t="n"/>
      <c r="E57" s="18" t="n"/>
      <c r="F57" s="18" t="n"/>
      <c r="G57" s="18" t="n"/>
      <c r="H57" s="18" t="n"/>
    </row>
    <row r="58" ht="24" customHeight="1">
      <c r="A58" s="19" t="n"/>
      <c r="B58" s="19" t="n"/>
      <c r="C58" s="19" t="n"/>
      <c r="D58" s="19" t="n"/>
      <c r="E58" s="19" t="n"/>
      <c r="F58" s="19" t="n"/>
      <c r="G58" s="19" t="n"/>
      <c r="H58" s="19" t="n"/>
    </row>
    <row r="59" ht="24" customHeight="1">
      <c r="A59" s="18" t="n"/>
      <c r="B59" s="18" t="n"/>
      <c r="C59" s="18" t="n"/>
      <c r="D59" s="18" t="n"/>
      <c r="E59" s="18" t="n"/>
      <c r="F59" s="18" t="n"/>
      <c r="G59" s="18" t="n"/>
      <c r="H59" s="18" t="n"/>
    </row>
    <row r="60" ht="24" customHeight="1">
      <c r="A60" s="19" t="n"/>
      <c r="B60" s="19" t="n"/>
      <c r="C60" s="19" t="n"/>
      <c r="D60" s="19" t="n"/>
      <c r="E60" s="19" t="n"/>
      <c r="F60" s="19" t="n"/>
      <c r="G60" s="19" t="n"/>
      <c r="H60" s="19" t="n"/>
    </row>
    <row r="61" ht="24" customHeight="1">
      <c r="A61" s="18" t="n"/>
      <c r="B61" s="18" t="n"/>
      <c r="C61" s="18" t="n"/>
      <c r="D61" s="18" t="n"/>
      <c r="E61" s="18" t="n"/>
      <c r="F61" s="18" t="n"/>
      <c r="G61" s="18" t="n"/>
      <c r="H61" s="18" t="n"/>
    </row>
    <row r="62" ht="24" customHeight="1">
      <c r="A62" s="19" t="n"/>
      <c r="B62" s="19" t="n"/>
      <c r="C62" s="19" t="n"/>
      <c r="D62" s="19" t="n"/>
      <c r="E62" s="19" t="n"/>
      <c r="F62" s="19" t="n"/>
      <c r="G62" s="19" t="n"/>
      <c r="H62" s="19" t="n"/>
    </row>
    <row r="63" ht="24" customHeight="1">
      <c r="A63" s="18" t="n"/>
      <c r="B63" s="18" t="n"/>
      <c r="C63" s="18" t="n"/>
      <c r="D63" s="18" t="n"/>
      <c r="E63" s="18" t="n"/>
      <c r="F63" s="18" t="n"/>
      <c r="G63" s="18" t="n"/>
      <c r="H63" s="18" t="n"/>
    </row>
    <row r="64" ht="24" customHeight="1">
      <c r="A64" s="19" t="n"/>
      <c r="B64" s="19" t="n"/>
      <c r="C64" s="19" t="n"/>
      <c r="D64" s="19" t="n"/>
      <c r="E64" s="19" t="n"/>
      <c r="F64" s="19" t="n"/>
      <c r="G64" s="19" t="n"/>
      <c r="H64" s="19" t="n"/>
    </row>
    <row r="65" ht="24" customHeight="1">
      <c r="A65" s="18" t="n"/>
      <c r="B65" s="18" t="n"/>
      <c r="C65" s="18" t="n"/>
      <c r="D65" s="18" t="n"/>
      <c r="E65" s="18" t="n"/>
      <c r="F65" s="18" t="n"/>
      <c r="G65" s="18" t="n"/>
      <c r="H65" s="18" t="n"/>
    </row>
    <row r="66" ht="24" customHeight="1">
      <c r="A66" s="19" t="n"/>
      <c r="B66" s="19" t="n"/>
      <c r="C66" s="19" t="n"/>
      <c r="D66" s="19" t="n"/>
      <c r="E66" s="19" t="n"/>
      <c r="F66" s="19" t="n"/>
      <c r="G66" s="19" t="n"/>
      <c r="H66" s="19" t="n"/>
    </row>
    <row r="67" ht="24" customHeight="1">
      <c r="A67" s="18" t="n"/>
      <c r="B67" s="18" t="n"/>
      <c r="C67" s="18" t="n"/>
      <c r="D67" s="18" t="n"/>
      <c r="E67" s="18" t="n"/>
      <c r="F67" s="18" t="n"/>
      <c r="G67" s="18" t="n"/>
      <c r="H67" s="18" t="n"/>
    </row>
    <row r="68" ht="24" customHeight="1">
      <c r="A68" s="19" t="n"/>
      <c r="B68" s="19" t="n"/>
      <c r="C68" s="19" t="n"/>
      <c r="D68" s="19" t="n"/>
      <c r="E68" s="19" t="n"/>
      <c r="F68" s="19" t="n"/>
      <c r="G68" s="19" t="n"/>
      <c r="H68" s="19" t="n"/>
    </row>
    <row r="69" ht="24" customHeight="1">
      <c r="A69" s="18" t="n"/>
      <c r="B69" s="18" t="n"/>
      <c r="C69" s="18" t="n"/>
      <c r="D69" s="18" t="n"/>
      <c r="E69" s="18" t="n"/>
      <c r="F69" s="18" t="n"/>
      <c r="G69" s="18" t="n"/>
      <c r="H69" s="18" t="n"/>
    </row>
    <row r="70" ht="24" customHeight="1">
      <c r="A70" s="19" t="n"/>
      <c r="B70" s="19" t="n"/>
      <c r="C70" s="19" t="n"/>
      <c r="D70" s="19" t="n"/>
      <c r="E70" s="19" t="n"/>
      <c r="F70" s="19" t="n"/>
      <c r="G70" s="19" t="n"/>
      <c r="H70" s="19" t="n"/>
    </row>
    <row r="71" ht="24" customHeight="1">
      <c r="A71" s="18" t="n"/>
      <c r="B71" s="18" t="n"/>
      <c r="C71" s="18" t="n"/>
      <c r="D71" s="18" t="n"/>
      <c r="E71" s="18" t="n"/>
      <c r="F71" s="18" t="n"/>
      <c r="G71" s="18" t="n"/>
      <c r="H71" s="18" t="n"/>
    </row>
    <row r="72" ht="24" customHeight="1">
      <c r="A72" s="19" t="n"/>
      <c r="B72" s="19" t="n"/>
      <c r="C72" s="19" t="n"/>
      <c r="D72" s="19" t="n"/>
      <c r="E72" s="19" t="n"/>
      <c r="F72" s="19" t="n"/>
      <c r="G72" s="19" t="n"/>
      <c r="H72" s="19" t="n"/>
    </row>
    <row r="73" ht="24" customHeight="1">
      <c r="A73" s="18" t="n"/>
      <c r="B73" s="18" t="n"/>
      <c r="C73" s="18" t="n"/>
      <c r="D73" s="18" t="n"/>
      <c r="E73" s="18" t="n"/>
      <c r="F73" s="18" t="n"/>
      <c r="G73" s="18" t="n"/>
      <c r="H73" s="18" t="n"/>
    </row>
    <row r="74" ht="24" customHeight="1">
      <c r="A74" s="19" t="n"/>
      <c r="B74" s="19" t="n"/>
      <c r="C74" s="19" t="n"/>
      <c r="D74" s="19" t="n"/>
      <c r="E74" s="19" t="n"/>
      <c r="F74" s="19" t="n"/>
      <c r="G74" s="19" t="n"/>
      <c r="H74" s="19" t="n"/>
    </row>
    <row r="75" ht="24" customHeight="1">
      <c r="A75" s="18" t="n"/>
      <c r="B75" s="18" t="n"/>
      <c r="C75" s="18" t="n"/>
      <c r="D75" s="18" t="n"/>
      <c r="E75" s="18" t="n"/>
      <c r="F75" s="18" t="n"/>
      <c r="G75" s="18" t="n"/>
      <c r="H75" s="18" t="n"/>
    </row>
    <row r="76" ht="24" customHeight="1">
      <c r="A76" s="19" t="n"/>
      <c r="B76" s="19" t="n"/>
      <c r="C76" s="19" t="n"/>
      <c r="D76" s="19" t="n"/>
      <c r="E76" s="19" t="n"/>
      <c r="F76" s="19" t="n"/>
      <c r="G76" s="19" t="n"/>
      <c r="H76" s="19" t="n"/>
    </row>
    <row r="77" ht="24" customHeight="1">
      <c r="A77" s="18" t="n"/>
      <c r="B77" s="18" t="n"/>
      <c r="C77" s="18" t="n"/>
      <c r="D77" s="18" t="n"/>
      <c r="E77" s="18" t="n"/>
      <c r="F77" s="18" t="n"/>
      <c r="G77" s="18" t="n"/>
      <c r="H77" s="18" t="n"/>
    </row>
    <row r="78" ht="24" customHeight="1">
      <c r="A78" s="19" t="n"/>
      <c r="B78" s="19" t="n"/>
      <c r="C78" s="19" t="n"/>
      <c r="D78" s="19" t="n"/>
      <c r="E78" s="19" t="n"/>
      <c r="F78" s="19" t="n"/>
      <c r="G78" s="19" t="n"/>
      <c r="H78" s="19" t="n"/>
    </row>
    <row r="79" ht="24" customHeight="1">
      <c r="A79" s="18" t="n"/>
      <c r="B79" s="18" t="n"/>
      <c r="C79" s="18" t="n"/>
      <c r="D79" s="18" t="n"/>
      <c r="E79" s="18" t="n"/>
      <c r="F79" s="18" t="n"/>
      <c r="G79" s="18" t="n"/>
      <c r="H79" s="18" t="n"/>
    </row>
    <row r="82" ht="14" customHeight="1"/>
    <row r="83" ht="22" customHeight="1">
      <c r="A83" s="3" t="inlineStr">
        <is>
          <t>BREAKDOWN BY NEIGHBORHOOD</t>
        </is>
      </c>
    </row>
    <row r="84" ht="20" customHeight="1">
      <c r="A84" s="16" t="inlineStr">
        <is>
          <t>Neighborhood</t>
        </is>
      </c>
      <c r="B84" s="16" t="inlineStr">
        <is>
          <t>Customers</t>
        </is>
      </c>
      <c r="C84" s="16" t="inlineStr">
        <is>
          <t>Chefs</t>
        </is>
      </c>
      <c r="D84" s="16" t="inlineStr">
        <is>
          <t>Total</t>
        </is>
      </c>
    </row>
    <row r="85" ht="22" customHeight="1">
      <c r="A85" s="20" t="inlineStr">
        <is>
          <t>Midtown</t>
        </is>
      </c>
      <c r="B85" s="40">
        <f>COUNTIFS(D9:D500,A85,C9:C500,"Customer")</f>
        <v/>
      </c>
      <c r="C85" s="40">
        <f>COUNTIFS(D9:D500,A85,C9:C500,"Chef")</f>
        <v/>
      </c>
      <c r="D85" s="40">
        <f>B85+C85</f>
        <v/>
      </c>
    </row>
    <row r="86" ht="22" customHeight="1">
      <c r="A86" s="22" t="inlineStr">
        <is>
          <t>Corktown</t>
        </is>
      </c>
      <c r="B86" s="41">
        <f>COUNTIFS(D9:D500,A86,C9:C500,"Customer")</f>
        <v/>
      </c>
      <c r="C86" s="41">
        <f>COUNTIFS(D9:D500,A86,C9:C500,"Chef")</f>
        <v/>
      </c>
      <c r="D86" s="41">
        <f>B86+C86</f>
        <v/>
      </c>
    </row>
    <row r="87" ht="22" customHeight="1">
      <c r="A87" s="20" t="inlineStr">
        <is>
          <t>Mexicantown</t>
        </is>
      </c>
      <c r="B87" s="40">
        <f>COUNTIFS(D9:D500,A87,C9:C500,"Customer")</f>
        <v/>
      </c>
      <c r="C87" s="40">
        <f>COUNTIFS(D9:D500,A87,C9:C500,"Chef")</f>
        <v/>
      </c>
      <c r="D87" s="40">
        <f>B87+C87</f>
        <v/>
      </c>
    </row>
    <row r="88" ht="22" customHeight="1">
      <c r="A88" s="22" t="inlineStr">
        <is>
          <t>East English Village</t>
        </is>
      </c>
      <c r="B88" s="41">
        <f>COUNTIFS(D9:D500,A88,C9:C500,"Customer")</f>
        <v/>
      </c>
      <c r="C88" s="41">
        <f>COUNTIFS(D9:D500,A88,C9:C500,"Chef")</f>
        <v/>
      </c>
      <c r="D88" s="41">
        <f>B88+C88</f>
        <v/>
      </c>
    </row>
    <row r="89" ht="22" customHeight="1">
      <c r="A89" s="20" t="inlineStr">
        <is>
          <t>Hamtramck</t>
        </is>
      </c>
      <c r="B89" s="40">
        <f>COUNTIFS(D9:D500,A89,C9:C500,"Customer")</f>
        <v/>
      </c>
      <c r="C89" s="40">
        <f>COUNTIFS(D9:D500,A89,C9:C500,"Chef")</f>
        <v/>
      </c>
      <c r="D89" s="40">
        <f>B89+C89</f>
        <v/>
      </c>
    </row>
    <row r="90" ht="22" customHeight="1">
      <c r="A90" s="22" t="inlineStr">
        <is>
          <t>Other</t>
        </is>
      </c>
      <c r="B90" s="41">
        <f>COUNTIFS(D9:D500,A90,C9:C500,"Customer")</f>
        <v/>
      </c>
      <c r="C90" s="41">
        <f>COUNTIFS(D9:D500,A90,C9:C500,"Chef")</f>
        <v/>
      </c>
      <c r="D90" s="41">
        <f>B90+C90</f>
        <v/>
      </c>
    </row>
  </sheetData>
  <mergeCells count="4">
    <mergeCell ref="A7:H7"/>
    <mergeCell ref="A83:D83"/>
    <mergeCell ref="A2:L2"/>
    <mergeCell ref="A1:L1"/>
  </mergeCells>
  <dataValidations count="2">
    <dataValidation sqref="C9:C500" showDropDown="0" showInputMessage="0" showErrorMessage="0" allowBlank="1" type="list">
      <formula1>"Customer,Chef"</formula1>
    </dataValidation>
    <dataValidation sqref="G9:G5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4A017"/>
    <outlinePr summaryBelow="1" summaryRight="1"/>
    <pageSetUpPr/>
  </sheetPr>
  <dimension ref="A1:E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4" customWidth="1" min="3" max="3"/>
    <col width="34" customWidth="1" min="4" max="4"/>
    <col width="16" customWidth="1" min="5" max="5"/>
  </cols>
  <sheetData>
    <row r="1" ht="50" customHeight="1">
      <c r="A1" s="42" t="inlineStr">
        <is>
          <t>Compliance Research</t>
        </is>
      </c>
    </row>
    <row r="2" ht="22" customHeight="1">
      <c r="A2" s="2" t="inlineStr">
        <is>
          <t>Answer these questions BEFORE building · Determines your operating model</t>
        </is>
      </c>
    </row>
    <row r="3" ht="10" customHeight="1"/>
    <row r="4" ht="22" customHeight="1">
      <c r="A4" s="3" t="inlineStr">
        <is>
          <t>KEY QUESTIONS TO ANSWER</t>
        </is>
      </c>
    </row>
    <row r="5" ht="20" customHeight="1">
      <c r="A5" s="43" t="inlineStr">
        <is>
          <t>Question</t>
        </is>
      </c>
      <c r="B5" s="43" t="inlineStr">
        <is>
          <t>Answer</t>
        </is>
      </c>
      <c r="C5" s="43" t="inlineStr">
        <is>
          <t>Source</t>
        </is>
      </c>
      <c r="D5" s="43" t="inlineStr">
        <is>
          <t>Date researched</t>
        </is>
      </c>
      <c r="E5" s="43" t="inlineStr">
        <is>
          <t>Action needed</t>
        </is>
      </c>
    </row>
    <row r="6" ht="36" customHeight="1">
      <c r="A6" s="44" t="inlineStr">
        <is>
          <t>What does Michigan Cottage Food Law allow home chefs to sell?</t>
        </is>
      </c>
      <c r="B6" s="18" t="n"/>
      <c r="C6" s="18" t="n"/>
      <c r="D6" s="18" t="n"/>
      <c r="E6" s="18" t="n"/>
    </row>
    <row r="7" ht="36" customHeight="1">
      <c r="A7" s="45" t="inlineStr">
        <is>
          <t>What license does a home cook need to sell prepared meals in Detroit?</t>
        </is>
      </c>
      <c r="B7" s="19" t="n"/>
      <c r="C7" s="19" t="n"/>
      <c r="D7" s="19" t="n"/>
      <c r="E7" s="19" t="n"/>
    </row>
    <row r="8" ht="36" customHeight="1">
      <c r="A8" s="44" t="inlineStr">
        <is>
          <t>Are there shared commercial kitchens in Detroit chefs could use?</t>
        </is>
      </c>
      <c r="B8" s="18" t="n"/>
      <c r="C8" s="18" t="n"/>
      <c r="D8" s="18" t="n"/>
      <c r="E8" s="18" t="n"/>
    </row>
    <row r="9" ht="36" customHeight="1">
      <c r="A9" s="45" t="inlineStr">
        <is>
          <t>What's the liability picture if a customer gets sick?</t>
        </is>
      </c>
      <c r="B9" s="19" t="n"/>
      <c r="C9" s="19" t="n"/>
      <c r="D9" s="19" t="n"/>
      <c r="E9" s="19" t="n"/>
    </row>
    <row r="10" ht="36" customHeight="1">
      <c r="A10" s="44" t="inlineStr">
        <is>
          <t>Does Michigan have any food freedom bills in progress?</t>
        </is>
      </c>
      <c r="B10" s="18" t="n"/>
      <c r="C10" s="18" t="n"/>
      <c r="D10" s="18" t="n"/>
      <c r="E10" s="18" t="n"/>
    </row>
    <row r="11" ht="36" customHeight="1">
      <c r="A11" s="45" t="inlineStr">
        <is>
          <t>What are the labeling requirements for cottage food sellers?</t>
        </is>
      </c>
      <c r="B11" s="19" t="n"/>
      <c r="C11" s="19" t="n"/>
      <c r="D11" s="19" t="n"/>
      <c r="E11" s="19" t="n"/>
    </row>
    <row r="12" ht="36" customHeight="1">
      <c r="A12" s="44" t="inlineStr">
        <is>
          <t>What are the annual revenue caps under Michigan cottage food law?</t>
        </is>
      </c>
      <c r="B12" s="18" t="n"/>
      <c r="C12" s="18" t="n"/>
      <c r="D12" s="18" t="n"/>
      <c r="E12" s="18" t="n"/>
    </row>
    <row r="13" ht="36" customHeight="1">
      <c r="A13" s="45" t="inlineStr">
        <is>
          <t>Does Detroit have city-level health requirements on top of state law?</t>
        </is>
      </c>
      <c r="B13" s="19" t="n"/>
      <c r="C13" s="19" t="n"/>
      <c r="D13" s="19" t="n"/>
      <c r="E13" s="19" t="n"/>
    </row>
    <row r="15" ht="14" customHeight="1"/>
    <row r="16" ht="22" customHeight="1">
      <c r="A16" s="3" t="inlineStr">
        <is>
          <t>CONTACTS TO CALL</t>
        </is>
      </c>
    </row>
    <row r="17" ht="20" customHeight="1">
      <c r="A17" s="43" t="inlineStr">
        <is>
          <t>Organization</t>
        </is>
      </c>
      <c r="B17" s="43" t="inlineStr">
        <is>
          <t>Contact / Number</t>
        </is>
      </c>
      <c r="C17" s="43" t="inlineStr">
        <is>
          <t>What to ask</t>
        </is>
      </c>
      <c r="D17" s="43" t="inlineStr">
        <is>
          <t>Date called</t>
        </is>
      </c>
      <c r="E17" s="43" t="inlineStr">
        <is>
          <t>What they said</t>
        </is>
      </c>
    </row>
    <row r="18" ht="40" customHeight="1">
      <c r="A18" s="18" t="inlineStr">
        <is>
          <t>Michigan MDARD</t>
        </is>
      </c>
      <c r="B18" s="18" t="inlineStr">
        <is>
          <t>(517) 284-5700</t>
        </is>
      </c>
      <c r="C18" s="18" t="inlineStr">
        <is>
          <t>What license for home cook selling prepared meals? What categories under cottage food law?</t>
        </is>
      </c>
      <c r="D18" s="18" t="inlineStr"/>
      <c r="E18" s="18" t="inlineStr"/>
    </row>
    <row r="19" ht="40" customHeight="1">
      <c r="A19" s="19" t="inlineStr">
        <is>
          <t>Detroit Health Dept</t>
        </is>
      </c>
      <c r="B19" s="19" t="inlineStr">
        <is>
          <t>(313) 876-4747</t>
        </is>
      </c>
      <c r="C19" s="19" t="inlineStr">
        <is>
          <t>City-level requirements for home-based prepared food sales?</t>
        </is>
      </c>
      <c r="D19" s="19" t="inlineStr"/>
      <c r="E19" s="19" t="inlineStr"/>
    </row>
    <row r="20" ht="40" customHeight="1">
      <c r="A20" s="18" t="inlineStr">
        <is>
          <t>Wayne State Law Clinic</t>
        </is>
      </c>
      <c r="B20" s="18" t="inlineStr">
        <is>
          <t>law.wayne.edu</t>
        </is>
      </c>
      <c r="C20" s="18" t="inlineStr">
        <is>
          <t>Free consult — liability, operating model, terms of service</t>
        </is>
      </c>
      <c r="D20" s="18" t="inlineStr"/>
      <c r="E20" s="18" t="inlineStr"/>
    </row>
    <row r="21" ht="40" customHeight="1">
      <c r="A21" s="19" t="inlineStr">
        <is>
          <t>Detroit Kitchen Connect</t>
        </is>
      </c>
      <c r="B21" s="19" t="inlineStr">
        <is>
          <t>detroitkitchenconnect.com</t>
        </is>
      </c>
      <c r="C21" s="19" t="inlineStr">
        <is>
          <t>Shared kitchen rates, availability, chef membership options</t>
        </is>
      </c>
      <c r="D21" s="19" t="inlineStr"/>
      <c r="E21" s="19" t="inlineStr"/>
    </row>
    <row r="22" ht="40" customHeight="1">
      <c r="A22" s="18" t="inlineStr">
        <is>
          <t>Michigan SCORE</t>
        </is>
      </c>
      <c r="B22" s="18" t="inlineStr">
        <is>
          <t>score.org/find-mentor</t>
        </is>
      </c>
      <c r="C22" s="18" t="inlineStr">
        <is>
          <t>Mentor with food biz experience — compliance, unit economics</t>
        </is>
      </c>
      <c r="D22" s="18" t="inlineStr"/>
      <c r="E22" s="18" t="inlineStr"/>
    </row>
    <row r="23" ht="40" customHeight="1">
      <c r="A23" s="19" t="inlineStr">
        <is>
          <t>Detroit Economic Growth Corp</t>
        </is>
      </c>
      <c r="B23" s="19" t="inlineStr">
        <is>
          <t>degc.org</t>
        </is>
      </c>
      <c r="C23" s="19" t="inlineStr">
        <is>
          <t>Local regulatory contacts, startup support resources</t>
        </is>
      </c>
      <c r="D23" s="19" t="inlineStr"/>
      <c r="E23" s="19" t="inlineStr"/>
    </row>
    <row r="25" ht="14" customHeight="1"/>
    <row r="26" ht="22" customHeight="1">
      <c r="A26" s="3" t="inlineStr">
        <is>
          <t>SCENARIO PLANNING</t>
        </is>
      </c>
    </row>
    <row r="27" ht="20" customHeight="1">
      <c r="A27" s="43" t="inlineStr">
        <is>
          <t>Scenario</t>
        </is>
      </c>
      <c r="B27" s="43" t="inlineStr">
        <is>
          <t>Likelihood</t>
        </is>
      </c>
      <c r="C27" s="43" t="inlineStr">
        <is>
          <t>What it means for Homemade</t>
        </is>
      </c>
      <c r="D27" s="43" t="inlineStr">
        <is>
          <t>Action</t>
        </is>
      </c>
      <c r="E27" s="43" t="inlineStr">
        <is>
          <t>Status</t>
        </is>
      </c>
    </row>
    <row r="28" ht="52" customHeight="1">
      <c r="A28" s="35" t="inlineStr">
        <is>
          <t>A: Home kitchens workable with basic licensing</t>
        </is>
      </c>
      <c r="B28" s="35" t="inlineStr">
        <is>
          <t>High</t>
        </is>
      </c>
      <c r="C28" s="35" t="inlineStr">
        <is>
          <t>Clean unit economics. Chefs get food handler license (~$15). 80% payout intact.</t>
        </is>
      </c>
      <c r="D28" s="35" t="inlineStr">
        <is>
          <t>Build licensing checklist into chef onboarding flow</t>
        </is>
      </c>
      <c r="E28" s="35" t="inlineStr"/>
    </row>
    <row r="29" ht="52" customHeight="1">
      <c r="A29" s="46" t="inlineStr">
        <is>
          <t>B: Chefs need commercial kitchen for most dishes</t>
        </is>
      </c>
      <c r="B29" s="46" t="inlineStr">
        <is>
          <t>Medium</t>
        </is>
      </c>
      <c r="C29" s="46" t="inlineStr">
        <is>
          <t>Partner with Detroit Kitchen Connect. Group rate $15–20/hr. Adjust payout math.</t>
        </is>
      </c>
      <c r="D29" s="46" t="inlineStr">
        <is>
          <t>Negotiate group rate before launch. Brief chefs upfront on kitchen cost.</t>
        </is>
      </c>
      <c r="E29" s="46" t="inlineStr"/>
    </row>
    <row r="30" ht="52" customHeight="1">
      <c r="A30" s="30" t="inlineStr">
        <is>
          <t>C: Very restrictive — cottage food only to start</t>
        </is>
      </c>
      <c r="B30" s="30" t="inlineStr">
        <is>
          <t>Low</t>
        </is>
      </c>
      <c r="C30" s="30" t="inlineStr">
        <is>
          <t>Launch with baked goods/pantry only. Expand in Phase 2 with kitchen partnership.</t>
        </is>
      </c>
      <c r="D30" s="30" t="inlineStr">
        <is>
          <t>Reframe Phase 1 scope. Set expectations with chef cohort.</t>
        </is>
      </c>
      <c r="E30" s="30" t="inlineStr"/>
    </row>
  </sheetData>
  <mergeCells count="5">
    <mergeCell ref="A4:E4"/>
    <mergeCell ref="A26:E26"/>
    <mergeCell ref="A2:E2"/>
    <mergeCell ref="A16:E16"/>
    <mergeCell ref="A1:E1"/>
  </mergeCells>
  <dataValidations count="1">
    <dataValidation sqref="B28:B35" showDropDown="0" showInputMessage="0" showErrorMessage="0" allowBlank="1" type="list">
      <formula1>"High,Medium,Low,Unknown"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C8479"/>
    <outlinePr summaryBelow="1" summaryRight="1"/>
    <pageSetUpPr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72" customWidth="1" min="3" max="3"/>
    <col width="10" customWidth="1" min="4" max="4"/>
  </cols>
  <sheetData>
    <row r="1" ht="50" customHeight="1">
      <c r="A1" s="1" t="inlineStr">
        <is>
          <t>14-Day Sprint Schedule</t>
        </is>
      </c>
    </row>
    <row r="2" ht="22" customHeight="1">
      <c r="A2" s="2" t="inlineStr">
        <is>
          <t>Scattered evenings + weekends · ~15–20 hrs total · Saturday is your highest-leverage day</t>
        </is>
      </c>
    </row>
    <row r="3" ht="10" customHeight="1"/>
    <row r="4" ht="22" customHeight="1">
      <c r="A4" s="3" t="inlineStr">
        <is>
          <t>DAY-BY-DAY PLAN</t>
        </is>
      </c>
    </row>
    <row r="5" ht="20" customHeight="1">
      <c r="A5" s="16" t="inlineStr">
        <is>
          <t>Day</t>
        </is>
      </c>
      <c r="B5" s="16" t="inlineStr">
        <is>
          <t>Time</t>
        </is>
      </c>
      <c r="C5" s="16" t="inlineStr">
        <is>
          <t>Tasks</t>
        </is>
      </c>
      <c r="D5" s="16" t="inlineStr">
        <is>
          <t>Done?</t>
        </is>
      </c>
    </row>
    <row r="6" ht="26" customHeight="1">
      <c r="A6" s="47" t="inlineStr">
        <is>
          <t>WEEK 1</t>
        </is>
      </c>
    </row>
    <row r="7" ht="36" customHeight="1">
      <c r="A7" s="41" t="inlineStr">
        <is>
          <t>Monday Eve</t>
        </is>
      </c>
      <c r="B7" s="48" t="inlineStr">
        <is>
          <t>1.5 hrs</t>
        </is>
      </c>
      <c r="C7" s="19" t="inlineStr">
        <is>
          <t>Set up tracking spreadsheet · Build waitlist page on Netlify · Set up Mailchimp for two lists (chefs, customers)</t>
        </is>
      </c>
      <c r="D7" s="23" t="inlineStr"/>
    </row>
    <row r="8" ht="36" customHeight="1">
      <c r="A8" s="40" t="inlineStr">
        <is>
          <t>Tuesday Eve</t>
        </is>
      </c>
      <c r="B8" s="49" t="inlineStr">
        <is>
          <t>1.5 hrs</t>
        </is>
      </c>
      <c r="C8" s="18" t="inlineStr">
        <is>
          <t>Instagram research: find 30 Detroit home chefs · Hashtags: #detroitfood #detroithomecook #mexicantowndetroit #hamtramckfood · Log each one, don't outreach yet</t>
        </is>
      </c>
      <c r="D8" s="21" t="inlineStr"/>
    </row>
    <row r="9" ht="36" customHeight="1">
      <c r="A9" s="41" t="inlineStr">
        <is>
          <t>Wednesday Eve</t>
        </is>
      </c>
      <c r="B9" s="48" t="inlineStr">
        <is>
          <t>1.5 hrs</t>
        </is>
      </c>
      <c r="C9" s="19" t="inlineStr">
        <is>
          <t>Continue research · Finish list of 30 chef leads with names, neighborhoods, what they cook, contact method</t>
        </is>
      </c>
      <c r="D9" s="23" t="inlineStr"/>
    </row>
    <row r="10" ht="36" customHeight="1">
      <c r="A10" s="40" t="inlineStr">
        <is>
          <t>Thursday Eve</t>
        </is>
      </c>
      <c r="B10" s="49" t="inlineStr">
        <is>
          <t>1 hr</t>
        </is>
      </c>
      <c r="C10" s="18" t="inlineStr">
        <is>
          <t>Send first 10 DMs · Personalize every one — name the specific dish you saw on their profile · No copy-paste</t>
        </is>
      </c>
      <c r="D10" s="21" t="inlineStr"/>
    </row>
    <row r="11" ht="36" customHeight="1">
      <c r="A11" s="41" t="inlineStr">
        <is>
          <t>Friday Eve</t>
        </is>
      </c>
      <c r="B11" s="48" t="inlineStr">
        <is>
          <t>1 hr</t>
        </is>
      </c>
      <c r="C11" s="19" t="inlineStr">
        <is>
          <t>Check DM replies · Follow up · Send 5 cold emails to chefs with catering websites or Etsy stores</t>
        </is>
      </c>
      <c r="D11" s="23" t="inlineStr"/>
    </row>
    <row r="12" ht="72" customHeight="1">
      <c r="A12" s="50" t="inlineStr">
        <is>
          <t>SATURDAY</t>
        </is>
      </c>
      <c r="B12" s="51" t="inlineStr">
        <is>
          <t>5 hrs</t>
        </is>
      </c>
      <c r="C12" s="30" t="inlineStr">
        <is>
          <t>7–10am: Eastern Market — walk every aisle, talk to vendors, ask who cooks at home
10am–12pm: Mexicantown (Vernor Hwy) — note family-run spots, talk to anyone cooking
12–1pm: Corktown — grab food, have conversations
1–5pm: Log everything, reply to DMs, update tracker</t>
        </is>
      </c>
      <c r="D12" s="52" t="inlineStr"/>
    </row>
    <row r="13" ht="36" customHeight="1">
      <c r="A13" s="41" t="inlineStr">
        <is>
          <t>Sunday</t>
        </is>
      </c>
      <c r="B13" s="48" t="inlineStr">
        <is>
          <t>2.5 hrs</t>
        </is>
      </c>
      <c r="C13" s="19" t="inlineStr">
        <is>
          <t>Full debrief · Write 5 weekly learning bullets in Dashboard tab · Reply to any DMs · Plan Week 2 targets</t>
        </is>
      </c>
      <c r="D13" s="23" t="inlineStr"/>
    </row>
    <row r="14" ht="26" customHeight="1">
      <c r="A14" s="47" t="inlineStr">
        <is>
          <t>WEEK 2</t>
        </is>
      </c>
    </row>
    <row r="15" ht="36" customHeight="1">
      <c r="A15" s="41" t="inlineStr">
        <is>
          <t>Monday Eve</t>
        </is>
      </c>
      <c r="B15" s="48" t="inlineStr">
        <is>
          <t>1 hr</t>
        </is>
      </c>
      <c r="C15" s="19" t="inlineStr">
        <is>
          <t>10-min DM routine · Post in Facebook groups: Detroit Foodies, Mexicantown Detroit, EEV Neighbors, Hamtramck Community — ask for customer interview volunteers</t>
        </is>
      </c>
      <c r="D15" s="23" t="inlineStr"/>
    </row>
    <row r="16" ht="36" customHeight="1">
      <c r="A16" s="40" t="inlineStr">
        <is>
          <t>Tuesday Eve</t>
        </is>
      </c>
      <c r="B16" s="49" t="inlineStr">
        <is>
          <t>1.5 hrs</t>
        </is>
      </c>
      <c r="C16" s="18" t="inlineStr">
        <is>
          <t>Follow up Week 1 DMs · Schedule calls with interested chefs · Post on Nextdoor in your neighborhood</t>
        </is>
      </c>
      <c r="D16" s="21" t="inlineStr"/>
    </row>
    <row r="17" ht="36" customHeight="1">
      <c r="A17" s="41" t="inlineStr">
        <is>
          <t>Wednesday Eve</t>
        </is>
      </c>
      <c r="B17" s="48" t="inlineStr">
        <is>
          <t>1.5 hrs</t>
        </is>
      </c>
      <c r="C17" s="19" t="inlineStr">
        <is>
          <t>Run 2 customer interviews (30 min each) · Log findings immediately in Interviews tab — exact words only</t>
        </is>
      </c>
      <c r="D17" s="23" t="inlineStr"/>
    </row>
    <row r="18" ht="36" customHeight="1">
      <c r="A18" s="40" t="inlineStr">
        <is>
          <t>Thursday Eve</t>
        </is>
      </c>
      <c r="B18" s="49" t="inlineStr">
        <is>
          <t>2 hrs</t>
        </is>
      </c>
      <c r="C18" s="18" t="inlineStr">
        <is>
          <t>Compliance deep dive · Call MDARD (517) 284-5700 · Detroit Health Dept (313) 876-4747 · Log findings in Compliance tab</t>
        </is>
      </c>
      <c r="D18" s="21" t="inlineStr"/>
    </row>
    <row r="19" ht="36" customHeight="1">
      <c r="A19" s="41" t="inlineStr">
        <is>
          <t>Friday Eve</t>
        </is>
      </c>
      <c r="B19" s="48" t="inlineStr">
        <is>
          <t>1 hr</t>
        </is>
      </c>
      <c r="C19" s="19" t="inlineStr">
        <is>
          <t>Send 10 more DMs · 5 more cold emails · Reply to all outstanding messages</t>
        </is>
      </c>
      <c r="D19" s="23" t="inlineStr"/>
    </row>
    <row r="20" ht="72" customHeight="1">
      <c r="A20" s="50" t="inlineStr">
        <is>
          <t>SATURDAY</t>
        </is>
      </c>
      <c r="B20" s="51" t="inlineStr">
        <is>
          <t>5 hrs</t>
        </is>
      </c>
      <c r="C20" s="30" t="inlineStr">
        <is>
          <t>Morning: 3–4 customer interviews at coffee shops in target neighborhoods (Corktown Coffee, Café con Leche, Germack)
Afternoon: Hamtramck — Joseph Campau Ave, talk to restaurant workers 2–4pm between lunch/dinner
Evening: Log everything, update all tracker tabs</t>
        </is>
      </c>
      <c r="D20" s="52" t="inlineStr"/>
    </row>
    <row r="21" ht="36" customHeight="1">
      <c r="A21" s="41" t="inlineStr">
        <is>
          <t>Sunday</t>
        </is>
      </c>
      <c r="B21" s="48" t="inlineStr">
        <is>
          <t>2.5 hrs</t>
        </is>
      </c>
      <c r="C21" s="19" t="inlineStr">
        <is>
          <t>Full debrief · Update all tabs · Run GO/NO-GO checklist in Dashboard · If 5 commits + 50 signups → move to Phase 2</t>
        </is>
      </c>
      <c r="D21" s="23" t="inlineStr"/>
    </row>
  </sheetData>
  <mergeCells count="5">
    <mergeCell ref="A1:D1"/>
    <mergeCell ref="A6:D6"/>
    <mergeCell ref="A4:D4"/>
    <mergeCell ref="A2:D2"/>
    <mergeCell ref="A14:D14"/>
  </mergeCells>
  <dataValidations count="1">
    <dataValidation sqref="D7:D22" showDropDown="0" showInputMessage="0" showErrorMessage="0" allowBlank="1" type="list">
      <formula1>"✓,—,Skipped"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2026-06-06T21:25:50Z</dcterms:created>
  <dcterms:modified xmlns:dcterms="http://purl.org/dc/terms/" xmlns:xsi="http://www.w3.org/2001/XMLSchema-instance" xsi:type="dcterms:W3CDTF">2026-06-06T21:25:51Z</dcterms:modified>
</cp:coreProperties>
</file>